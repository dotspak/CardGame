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park\Documents\CardGame\"/>
    </mc:Choice>
  </mc:AlternateContent>
  <xr:revisionPtr revIDLastSave="0" documentId="13_ncr:1_{AA6AD4F2-E9D7-44B6-B3F7-F99B411D50FB}" xr6:coauthVersionLast="47" xr6:coauthVersionMax="47" xr10:uidLastSave="{00000000-0000-0000-0000-000000000000}"/>
  <bookViews>
    <workbookView xWindow="-120" yWindow="-120" windowWidth="38640" windowHeight="21120" xr2:uid="{F1BE6F00-F159-4957-8E4B-273D781E3C3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1" l="1"/>
  <c r="Y6" i="1"/>
  <c r="Y5" i="1"/>
  <c r="Y4" i="1"/>
  <c r="Y3" i="1"/>
  <c r="S6" i="1"/>
  <c r="S5" i="1"/>
  <c r="S4" i="1"/>
  <c r="S3" i="1"/>
  <c r="M6" i="1"/>
  <c r="M5" i="1"/>
  <c r="M4" i="1"/>
  <c r="M3" i="1"/>
  <c r="G6" i="1"/>
  <c r="G5" i="1"/>
  <c r="G4" i="1"/>
  <c r="G3" i="1"/>
  <c r="A6" i="1"/>
  <c r="A5" i="1"/>
  <c r="A4" i="1"/>
  <c r="A3" i="1"/>
  <c r="Y8" i="1" l="1"/>
  <c r="S8" i="1"/>
  <c r="M8" i="1"/>
  <c r="G8" i="1"/>
  <c r="A8" i="1"/>
  <c r="B1" i="1" l="1"/>
</calcChain>
</file>

<file path=xl/sharedStrings.xml><?xml version="1.0" encoding="utf-8"?>
<sst xmlns="http://schemas.openxmlformats.org/spreadsheetml/2006/main" count="91" uniqueCount="75">
  <si>
    <t>Total Cards</t>
  </si>
  <si>
    <t>Ghosts</t>
  </si>
  <si>
    <t>Creatures</t>
  </si>
  <si>
    <t>Spells</t>
  </si>
  <si>
    <t>Off-Site</t>
  </si>
  <si>
    <t>Total</t>
  </si>
  <si>
    <t>Skeleton</t>
  </si>
  <si>
    <t>Morgue</t>
  </si>
  <si>
    <t>Possess</t>
  </si>
  <si>
    <t>Plague</t>
  </si>
  <si>
    <t>Worm Wood</t>
  </si>
  <si>
    <t>It Gets Worse</t>
  </si>
  <si>
    <t>Totem Of Plague</t>
  </si>
  <si>
    <t>Abyssal Maw</t>
  </si>
  <si>
    <t>Greater Crow</t>
  </si>
  <si>
    <t>Crow Devourer</t>
  </si>
  <si>
    <t>Lesser Crow</t>
  </si>
  <si>
    <t>Golems</t>
  </si>
  <si>
    <t>Crow Alchemy</t>
  </si>
  <si>
    <t>Crow Nest</t>
  </si>
  <si>
    <t>Pheromone Den</t>
  </si>
  <si>
    <t>Pebble</t>
  </si>
  <si>
    <t>Artistic Golem</t>
  </si>
  <si>
    <t>Shifting Golem</t>
  </si>
  <si>
    <t>Living Home</t>
  </si>
  <si>
    <t>Powder</t>
  </si>
  <si>
    <t>Mars Message</t>
  </si>
  <si>
    <t>Portal</t>
  </si>
  <si>
    <t>The Moon</t>
  </si>
  <si>
    <t>Close Call</t>
  </si>
  <si>
    <t>Border of Life</t>
  </si>
  <si>
    <t>Barrier Insert</t>
  </si>
  <si>
    <t>Abstract Mirror</t>
  </si>
  <si>
    <t>Empty Man</t>
  </si>
  <si>
    <t>Door To Nowhere</t>
  </si>
  <si>
    <t>Container</t>
  </si>
  <si>
    <t>Prison</t>
  </si>
  <si>
    <t>Totem of Life</t>
  </si>
  <si>
    <t>Horror Above</t>
  </si>
  <si>
    <t>Totem of Prayer</t>
  </si>
  <si>
    <t>The Seal</t>
  </si>
  <si>
    <t>Formal Wizard</t>
  </si>
  <si>
    <t>Clone Element</t>
  </si>
  <si>
    <t>Knife</t>
  </si>
  <si>
    <t>Celestial</t>
  </si>
  <si>
    <t>Randos</t>
  </si>
  <si>
    <t>Specular Golem</t>
  </si>
  <si>
    <t>Reap</t>
  </si>
  <si>
    <t>Jester (2)</t>
  </si>
  <si>
    <t>Twisted Golem (2)</t>
  </si>
  <si>
    <t>Last Mass (3)</t>
  </si>
  <si>
    <t>Grave Digger</t>
  </si>
  <si>
    <t>Pale Mask</t>
  </si>
  <si>
    <t>Melting Idol</t>
  </si>
  <si>
    <t>Tomb Crawler (5)</t>
  </si>
  <si>
    <t>Phase Beast (7)</t>
  </si>
  <si>
    <t>Saturn Bear</t>
  </si>
  <si>
    <t>Wo Venus</t>
  </si>
  <si>
    <t>Mutation</t>
  </si>
  <si>
    <t>Blood Rage</t>
  </si>
  <si>
    <t>Ectoplasm</t>
  </si>
  <si>
    <t>Cauldron (10)</t>
  </si>
  <si>
    <t>Mog of the Bog</t>
  </si>
  <si>
    <t>The Cure</t>
  </si>
  <si>
    <t>Onyx Defender</t>
  </si>
  <si>
    <t>Pearl Defender</t>
  </si>
  <si>
    <t>Pin Cushion</t>
  </si>
  <si>
    <t>Stone Generator</t>
  </si>
  <si>
    <t>Monolith</t>
  </si>
  <si>
    <t>Rock Throw</t>
  </si>
  <si>
    <t>War on Pluto</t>
  </si>
  <si>
    <t>Tranquility</t>
  </si>
  <si>
    <t>Deconstructor</t>
  </si>
  <si>
    <t>Big Catch</t>
  </si>
  <si>
    <t>Barier Lord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</si>
</sst>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1" fillId="5" borderId="0" xfId="0" applyFont="1" applyFill="1"/>
    <xf numFmtId="0" fontId="0" fillId="5" borderId="0" xfId="0" applyFill="1" applyAlignment="1">
      <alignment horizontal="left"/>
    </xf>
    <xf numFmtId="0" fontId="0" fillId="3" borderId="0" xfId="0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E8B96-7BB2-4669-969C-772D34FF9DED}">
  <dimension ref="A1:AC9"/>
  <sheetViews>
    <sheetView tabSelected="1" zoomScale="111" workbookViewId="0">
      <selection activeCell="AA5" sqref="AA5"/>
    </sheetView>
  </sheetViews>
  <sheetFormatPr defaultRowHeight="15" x14ac:dyDescent="0.25"/>
  <cols>
    <col min="1" max="1" width="11.140625" customWidth="1"/>
    <col min="2" max="2" width="15.28515625" customWidth="1"/>
    <col min="3" max="3" width="17.140625" customWidth="1"/>
    <col min="4" max="4" width="16.85546875" customWidth="1"/>
    <col min="5" max="5" width="18.28515625" customWidth="1"/>
    <col min="6" max="6" width="8.85546875" style="1" customWidth="1"/>
    <col min="7" max="7" width="9.5703125" customWidth="1"/>
    <col min="8" max="11" width="17.7109375" customWidth="1"/>
    <col min="12" max="12" width="8.85546875" style="1"/>
    <col min="14" max="17" width="16.28515625" customWidth="1"/>
    <col min="18" max="18" width="8.85546875" style="1"/>
    <col min="20" max="23" width="19.42578125" customWidth="1"/>
    <col min="24" max="24" width="8.85546875" style="1"/>
    <col min="26" max="26" width="14.140625" customWidth="1"/>
    <col min="27" max="27" width="14" customWidth="1"/>
    <col min="28" max="28" width="13.42578125" customWidth="1"/>
  </cols>
  <sheetData>
    <row r="1" spans="1:29" x14ac:dyDescent="0.25">
      <c r="A1" s="3" t="s">
        <v>0</v>
      </c>
      <c r="B1" s="2">
        <f>SUM(A8,G8,M8,S8,Y8)</f>
        <v>65</v>
      </c>
      <c r="C1" s="8" t="str">
        <f>"/ 150"</f>
        <v>/ 150</v>
      </c>
    </row>
    <row r="2" spans="1:29" x14ac:dyDescent="0.25">
      <c r="A2" s="6" t="s">
        <v>1</v>
      </c>
      <c r="B2" s="4" t="s">
        <v>2</v>
      </c>
      <c r="C2" s="7" t="s">
        <v>3</v>
      </c>
      <c r="D2" s="4" t="s">
        <v>4</v>
      </c>
      <c r="E2" s="4"/>
      <c r="G2" s="6" t="s">
        <v>9</v>
      </c>
      <c r="H2" s="4" t="s">
        <v>2</v>
      </c>
      <c r="I2" s="4" t="s">
        <v>3</v>
      </c>
      <c r="J2" s="4" t="s">
        <v>4</v>
      </c>
      <c r="K2" s="4"/>
      <c r="M2" s="6" t="s">
        <v>44</v>
      </c>
      <c r="N2" s="4" t="s">
        <v>2</v>
      </c>
      <c r="O2" s="4" t="s">
        <v>3</v>
      </c>
      <c r="P2" s="4" t="s">
        <v>4</v>
      </c>
      <c r="Q2" s="4"/>
      <c r="S2" s="6" t="s">
        <v>17</v>
      </c>
      <c r="T2" s="4" t="s">
        <v>2</v>
      </c>
      <c r="U2" s="4" t="s">
        <v>3</v>
      </c>
      <c r="V2" s="4" t="s">
        <v>4</v>
      </c>
      <c r="W2" s="4"/>
      <c r="Y2" s="6" t="s">
        <v>45</v>
      </c>
      <c r="Z2" s="4" t="s">
        <v>2</v>
      </c>
      <c r="AA2" s="4" t="s">
        <v>3</v>
      </c>
      <c r="AB2" s="4" t="s">
        <v>4</v>
      </c>
      <c r="AC2" s="4"/>
    </row>
    <row r="3" spans="1:29" x14ac:dyDescent="0.25">
      <c r="A3" s="5">
        <f>COUNTA(B3:B60)</f>
        <v>6</v>
      </c>
      <c r="B3" t="s">
        <v>48</v>
      </c>
      <c r="C3" t="s">
        <v>8</v>
      </c>
      <c r="D3" t="s">
        <v>7</v>
      </c>
      <c r="G3" s="5">
        <f>COUNTA(H3:H60)</f>
        <v>6</v>
      </c>
      <c r="H3" t="s">
        <v>33</v>
      </c>
      <c r="I3" t="s">
        <v>10</v>
      </c>
      <c r="J3" t="s">
        <v>12</v>
      </c>
      <c r="M3" s="5">
        <f>COUNTA(N3:N60)</f>
        <v>5</v>
      </c>
      <c r="N3" t="s">
        <v>41</v>
      </c>
      <c r="O3" t="s">
        <v>26</v>
      </c>
      <c r="P3" t="s">
        <v>37</v>
      </c>
      <c r="S3" s="5">
        <f>COUNTA(T3:T60)</f>
        <v>7</v>
      </c>
      <c r="T3" t="s">
        <v>22</v>
      </c>
      <c r="U3" t="s">
        <v>31</v>
      </c>
      <c r="V3" t="s">
        <v>35</v>
      </c>
      <c r="Y3" s="5">
        <f>COUNTA(Z3:Z60)</f>
        <v>2</v>
      </c>
      <c r="Z3" t="s">
        <v>6</v>
      </c>
      <c r="AA3" t="s">
        <v>32</v>
      </c>
      <c r="AB3" t="s">
        <v>36</v>
      </c>
    </row>
    <row r="4" spans="1:29" x14ac:dyDescent="0.25">
      <c r="A4" s="5">
        <f>COUNTA(C3:C60)</f>
        <v>4</v>
      </c>
      <c r="B4" t="s">
        <v>49</v>
      </c>
      <c r="C4" t="s">
        <v>43</v>
      </c>
      <c r="D4" t="s">
        <v>60</v>
      </c>
      <c r="G4" s="5">
        <f>COUNTA(I3:I60)</f>
        <v>6</v>
      </c>
      <c r="H4" t="s">
        <v>14</v>
      </c>
      <c r="I4" t="s">
        <v>11</v>
      </c>
      <c r="J4" t="s">
        <v>19</v>
      </c>
      <c r="M4" s="5">
        <f>COUNTA(O3:O60)</f>
        <v>4</v>
      </c>
      <c r="N4" t="s">
        <v>42</v>
      </c>
      <c r="O4" t="s">
        <v>27</v>
      </c>
      <c r="P4" t="s">
        <v>39</v>
      </c>
      <c r="S4" s="5">
        <f>COUNTA(U3:U60)</f>
        <v>3</v>
      </c>
      <c r="T4" t="s">
        <v>46</v>
      </c>
      <c r="U4" t="s">
        <v>69</v>
      </c>
      <c r="V4" t="s">
        <v>67</v>
      </c>
      <c r="Y4" s="5">
        <f>COUNTA(AA3:AA60)</f>
        <v>3</v>
      </c>
      <c r="Z4" t="s">
        <v>21</v>
      </c>
      <c r="AA4" t="s">
        <v>59</v>
      </c>
    </row>
    <row r="5" spans="1:29" x14ac:dyDescent="0.25">
      <c r="A5" s="5">
        <f>COUNTA(D3:D60)</f>
        <v>5</v>
      </c>
      <c r="B5" t="s">
        <v>50</v>
      </c>
      <c r="C5" t="s">
        <v>47</v>
      </c>
      <c r="D5" t="s">
        <v>34</v>
      </c>
      <c r="G5" s="5">
        <f>COUNTA(J3:J60)</f>
        <v>4</v>
      </c>
      <c r="H5" t="s">
        <v>16</v>
      </c>
      <c r="I5" t="s">
        <v>25</v>
      </c>
      <c r="J5" t="s">
        <v>20</v>
      </c>
      <c r="M5" s="5">
        <f>COUNTA(P3:P60)</f>
        <v>5</v>
      </c>
      <c r="N5" t="s">
        <v>28</v>
      </c>
      <c r="O5" t="s">
        <v>29</v>
      </c>
      <c r="P5" t="s">
        <v>40</v>
      </c>
      <c r="S5" s="5">
        <f>COUNTA(V3:V60)</f>
        <v>4</v>
      </c>
      <c r="T5" t="s">
        <v>23</v>
      </c>
      <c r="U5" t="s">
        <v>71</v>
      </c>
      <c r="V5" t="s">
        <v>68</v>
      </c>
      <c r="Y5" s="5">
        <f>COUNTA(AB3:AB60)</f>
        <v>1</v>
      </c>
      <c r="AA5" t="s">
        <v>73</v>
      </c>
    </row>
    <row r="6" spans="1:29" x14ac:dyDescent="0.25">
      <c r="A6" s="5">
        <f>COUNTA(E3:E60)</f>
        <v>0</v>
      </c>
      <c r="B6" t="s">
        <v>54</v>
      </c>
      <c r="C6" t="s">
        <v>51</v>
      </c>
      <c r="D6" t="s">
        <v>52</v>
      </c>
      <c r="G6" s="5">
        <f>COUNTA(K3:K60)</f>
        <v>0</v>
      </c>
      <c r="H6" t="s">
        <v>15</v>
      </c>
      <c r="I6" t="s">
        <v>18</v>
      </c>
      <c r="J6" t="s">
        <v>66</v>
      </c>
      <c r="M6" s="5">
        <f>COUNTA(Q3:Q60)</f>
        <v>0</v>
      </c>
      <c r="N6" t="s">
        <v>56</v>
      </c>
      <c r="O6" t="s">
        <v>30</v>
      </c>
      <c r="P6" t="s">
        <v>13</v>
      </c>
      <c r="S6" s="5">
        <f>COUNTA(W3:W60)</f>
        <v>0</v>
      </c>
      <c r="T6" t="s">
        <v>24</v>
      </c>
      <c r="V6" t="s">
        <v>74</v>
      </c>
      <c r="Y6" s="5">
        <f>COUNTA(AC3:AC60)</f>
        <v>0</v>
      </c>
    </row>
    <row r="7" spans="1:29" x14ac:dyDescent="0.25">
      <c r="A7" s="4" t="s">
        <v>5</v>
      </c>
      <c r="B7" t="s">
        <v>55</v>
      </c>
      <c r="D7" t="s">
        <v>53</v>
      </c>
      <c r="G7" s="4" t="s">
        <v>5</v>
      </c>
      <c r="H7" t="s">
        <v>38</v>
      </c>
      <c r="I7" t="s">
        <v>58</v>
      </c>
      <c r="M7" s="4" t="s">
        <v>5</v>
      </c>
      <c r="N7" t="s">
        <v>57</v>
      </c>
      <c r="P7" t="s">
        <v>70</v>
      </c>
      <c r="S7" s="4" t="s">
        <v>5</v>
      </c>
      <c r="T7" t="s">
        <v>64</v>
      </c>
      <c r="Y7" s="4" t="s">
        <v>5</v>
      </c>
    </row>
    <row r="8" spans="1:29" x14ac:dyDescent="0.25">
      <c r="A8" s="5">
        <f>SUM(A3:A6)</f>
        <v>15</v>
      </c>
      <c r="B8" t="s">
        <v>61</v>
      </c>
      <c r="G8" s="5">
        <f>SUM(G3:G6)</f>
        <v>16</v>
      </c>
      <c r="H8" t="s">
        <v>62</v>
      </c>
      <c r="I8" t="s">
        <v>63</v>
      </c>
      <c r="M8" s="5">
        <f>SUM(M3:M6)</f>
        <v>14</v>
      </c>
      <c r="S8" s="5">
        <f>SUM(S3:S6)</f>
        <v>14</v>
      </c>
      <c r="T8" t="s">
        <v>65</v>
      </c>
      <c r="Y8" s="5">
        <f>SUM(Y3:Y6)</f>
        <v>6</v>
      </c>
    </row>
    <row r="9" spans="1:29" x14ac:dyDescent="0.25">
      <c r="A9" s="5">
        <v>32</v>
      </c>
      <c r="G9" s="5">
        <v>32</v>
      </c>
      <c r="M9" s="5">
        <v>32</v>
      </c>
      <c r="S9" s="5">
        <v>32</v>
      </c>
      <c r="T9" t="s">
        <v>72</v>
      </c>
      <c r="Y9" s="5">
        <v>22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Cole Smith-Evans</dc:creator>
  <cp:lastModifiedBy>Cole Smith-Evans</cp:lastModifiedBy>
  <dcterms:created xsi:type="dcterms:W3CDTF">2024-09-18T03:12:07Z</dcterms:created>
  <dcterms:modified xsi:type="dcterms:W3CDTF">2024-10-01T01:55:38Z</dcterms:modified>
</cp:coreProperties>
</file>