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2B7F7073-4875-4F4C-B08A-F79A63F67F8E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definedNames>
    <definedName name="_xlnm._FilterDatabase" localSheetId="0" hidden="1">Sheet1!$A$1:$D$8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" i="1" l="1"/>
  <c r="U4" i="1"/>
  <c r="U3" i="1"/>
  <c r="P5" i="1"/>
  <c r="P4" i="1"/>
  <c r="P3" i="1"/>
  <c r="K5" i="1"/>
  <c r="K4" i="1"/>
  <c r="K3" i="1"/>
  <c r="A5" i="1"/>
  <c r="A4" i="1"/>
  <c r="A3" i="1"/>
  <c r="F5" i="1"/>
  <c r="F4" i="1"/>
  <c r="F3" i="1"/>
  <c r="P11" i="1" l="1"/>
  <c r="K11" i="1"/>
  <c r="U11" i="1"/>
  <c r="A11" i="1"/>
  <c r="F11" i="1"/>
  <c r="A1" i="1" l="1"/>
</calcChain>
</file>

<file path=xl/sharedStrings.xml><?xml version="1.0" encoding="utf-8"?>
<sst xmlns="http://schemas.openxmlformats.org/spreadsheetml/2006/main" count="129" uniqueCount="113">
  <si>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</si>
  <si>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</si>
  <si>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</si>
  <si>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</si>
  <si>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</si>
  <si>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</si>
  <si>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</si>
  <si>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</si>
  <si>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</si>
  <si>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</si>
  <si>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</si>
  <si>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</si>
  <si>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</si>
  <si>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</si>
  <si>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</si>
  <si>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</si>
  <si>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</si>
  <si>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</si>
  <si>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</si>
  <si>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</si>
  <si>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</si>
  <si>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</si>
  <si>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</si>
  <si>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</si>
  <si>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</si>
  <si>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</si>
  <si>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</si>
  <si>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</si>
  <si>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</si>
  <si>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</si>
  <si>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</si>
  <si>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</si>
  <si>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</si>
  <si>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</si>
  <si>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</si>
  <si>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</si>
  <si>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</si>
  <si>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</si>
  <si>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</si>
  <si>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</si>
  <si>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</si>
  <si>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</si>
  <si>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</si>
  <si>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</si>
  <si>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</si>
  <si>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</si>
  <si>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</si>
  <si>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Grave Digger</t>
  </si>
  <si>
    <t>Pale Mask</t>
  </si>
  <si>
    <t>Melting Idol</t>
  </si>
  <si>
    <t>Saturn Bear</t>
  </si>
  <si>
    <t>Mutation</t>
  </si>
  <si>
    <t>Blood Rage</t>
  </si>
  <si>
    <t>Ectoplasm</t>
  </si>
  <si>
    <t>Mog of the Bog</t>
  </si>
  <si>
    <t>The Cure</t>
  </si>
  <si>
    <t>Onyx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</si>
  <si>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</si>
  <si>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</si>
  <si>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</si>
  <si>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</si>
  <si>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</si>
  <si>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</si>
  <si>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</si>
  <si>
    <t>Big Catch</t>
  </si>
  <si>
    <t>Barier Lord</t>
  </si>
  <si>
    <t>Star Storm</t>
  </si>
  <si>
    <t>Dying Star</t>
  </si>
  <si>
    <t>Banish Watcher</t>
  </si>
  <si>
    <t>The Best Offense</t>
  </si>
  <si>
    <t>Black Hole</t>
  </si>
  <si>
    <t>Sprint</t>
  </si>
  <si>
    <t>False Golem</t>
  </si>
  <si>
    <t>Creation/Nothing</t>
  </si>
  <si>
    <t>Melt</t>
  </si>
  <si>
    <t>Corrupted Piece</t>
  </si>
  <si>
    <t>Transmogrify</t>
  </si>
  <si>
    <t>Doctor</t>
  </si>
  <si>
    <t>Flock</t>
  </si>
  <si>
    <t>Sun Box</t>
  </si>
  <si>
    <t>Pearl Aggressor</t>
  </si>
  <si>
    <t xml:space="preserve">Jester </t>
  </si>
  <si>
    <t>Twisted Golem</t>
  </si>
  <si>
    <t>Last Mass</t>
  </si>
  <si>
    <t>Tomb Crawler</t>
  </si>
  <si>
    <t>Phase Beast</t>
  </si>
  <si>
    <t>Cauldron</t>
  </si>
  <si>
    <t>Venus Woman</t>
  </si>
  <si>
    <t>Toxician</t>
  </si>
  <si>
    <t>Rat</t>
  </si>
  <si>
    <t>Doomsday Barrel</t>
  </si>
  <si>
    <t>Green Orb</t>
  </si>
  <si>
    <t>Conjoined</t>
  </si>
  <si>
    <t>Temporary Relief</t>
  </si>
  <si>
    <t>Health:Sickness</t>
  </si>
  <si>
    <t>Moth</t>
  </si>
  <si>
    <t>Cracked Egg</t>
  </si>
  <si>
    <t>Spooked Golem</t>
  </si>
  <si>
    <t>Infection:Misdirection</t>
  </si>
  <si>
    <t>Blue Star</t>
  </si>
  <si>
    <t>Bottom Dweller</t>
  </si>
  <si>
    <t>G Spellcaster</t>
  </si>
  <si>
    <t>Reconstruction</t>
  </si>
  <si>
    <t>Moon Angel</t>
  </si>
  <si>
    <t>Tonne</t>
  </si>
  <si>
    <t>Gold Vein</t>
  </si>
  <si>
    <t>Soul Lantern</t>
  </si>
  <si>
    <t>Soul Baron</t>
  </si>
  <si>
    <t>Golden Land</t>
  </si>
  <si>
    <t>Void Saviour</t>
  </si>
  <si>
    <t>Void World</t>
  </si>
  <si>
    <t>Unstasis</t>
  </si>
  <si>
    <t>Spiritual Warlord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</si>
</sst>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4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6" borderId="1" xfId="0" applyFill="1" applyBorder="1"/>
    <xf numFmtId="0" fontId="2" fillId="8" borderId="1" xfId="0" applyFont="1" applyFill="1" applyBorder="1"/>
    <xf numFmtId="0" fontId="0" fillId="3" borderId="1" xfId="0" applyFill="1" applyBorder="1"/>
    <xf numFmtId="0" fontId="0" fillId="0" borderId="1" xfId="0" applyBorder="1"/>
    <xf numFmtId="0" fontId="0" fillId="2" borderId="1" xfId="0" applyFill="1" applyBorder="1"/>
    <xf numFmtId="0" fontId="1" fillId="9" borderId="1" xfId="0" applyFont="1" applyFill="1" applyBorder="1"/>
    <xf numFmtId="0" fontId="0" fillId="9" borderId="1" xfId="0" applyFill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horizontal="left"/>
    </xf>
    <xf numFmtId="0" fontId="0" fillId="9" borderId="1" xfId="0" applyFill="1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3" fillId="6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Y13"/>
  <sheetViews>
    <sheetView tabSelected="1" zoomScale="146" zoomScaleNormal="190" workbookViewId="0">
      <selection activeCell="C12" sqref="C12"/>
    </sheetView>
  </sheetViews>
  <sheetFormatPr defaultColWidth="9.109375" defaultRowHeight="14.4" x14ac:dyDescent="0.3"/>
  <cols>
    <col min="1" max="1" width="10" style="1" customWidth="1"/>
    <col min="2" max="2" width="14.44140625" style="7" customWidth="1"/>
    <col min="3" max="3" width="13.88671875" style="7" customWidth="1"/>
    <col min="4" max="4" width="16.88671875" style="7" customWidth="1"/>
    <col min="5" max="5" width="2.6640625" style="8" customWidth="1"/>
    <col min="6" max="6" width="10.44140625" style="1" customWidth="1"/>
    <col min="7" max="7" width="15.44140625" style="7" customWidth="1"/>
    <col min="8" max="8" width="15.5546875" style="7" customWidth="1"/>
    <col min="9" max="9" width="16" style="7" customWidth="1"/>
    <col min="10" max="10" width="2.6640625" style="8" customWidth="1"/>
    <col min="11" max="11" width="9.88671875" style="1" customWidth="1"/>
    <col min="12" max="13" width="16.33203125" style="7" customWidth="1"/>
    <col min="14" max="14" width="13.109375" style="7" customWidth="1"/>
    <col min="15" max="15" width="2.6640625" style="8" customWidth="1"/>
    <col min="16" max="16" width="11" style="1" customWidth="1"/>
    <col min="17" max="17" width="14.6640625" style="7" customWidth="1"/>
    <col min="18" max="18" width="16.5546875" style="7" customWidth="1"/>
    <col min="19" max="19" width="15.5546875" style="7" customWidth="1"/>
    <col min="20" max="20" width="2.6640625" style="8" customWidth="1"/>
    <col min="21" max="21" width="10.5546875" style="1" customWidth="1"/>
    <col min="22" max="22" width="11.88671875" style="7" customWidth="1"/>
    <col min="23" max="23" width="14" style="7" customWidth="1"/>
    <col min="24" max="24" width="13.44140625" style="7" customWidth="1"/>
    <col min="25" max="25" width="3" style="8" customWidth="1"/>
    <col min="26" max="16384" width="9.109375" style="7"/>
  </cols>
  <sheetData>
    <row r="1" spans="1:24" s="11" customFormat="1" ht="15.75" customHeight="1" x14ac:dyDescent="0.3">
      <c r="A1" s="14" t="str">
        <f>_xlfn.CONCAT("Total: ", SUM(A11,F11,K11,P11,U11))</f>
        <v>Total: 104</v>
      </c>
      <c r="C1" s="12"/>
    </row>
    <row r="2" spans="1:24" x14ac:dyDescent="0.3">
      <c r="A2" s="9" t="s">
        <v>0</v>
      </c>
      <c r="B2" s="10" t="s">
        <v>1</v>
      </c>
      <c r="C2" s="13" t="s">
        <v>2</v>
      </c>
      <c r="D2" s="10" t="s">
        <v>3</v>
      </c>
      <c r="F2" s="9" t="s">
        <v>8</v>
      </c>
      <c r="G2" s="10" t="s">
        <v>1</v>
      </c>
      <c r="H2" s="10" t="s">
        <v>2</v>
      </c>
      <c r="I2" s="10" t="s">
        <v>3</v>
      </c>
      <c r="K2" s="9" t="s">
        <v>43</v>
      </c>
      <c r="L2" s="10" t="s">
        <v>1</v>
      </c>
      <c r="M2" s="10" t="s">
        <v>2</v>
      </c>
      <c r="N2" s="10" t="s">
        <v>3</v>
      </c>
      <c r="P2" s="9" t="s">
        <v>16</v>
      </c>
      <c r="Q2" s="10" t="s">
        <v>1</v>
      </c>
      <c r="R2" s="10" t="s">
        <v>2</v>
      </c>
      <c r="S2" s="10" t="s">
        <v>3</v>
      </c>
      <c r="U2" s="9" t="s">
        <v>44</v>
      </c>
      <c r="V2" s="10" t="s">
        <v>1</v>
      </c>
      <c r="W2" s="10" t="s">
        <v>2</v>
      </c>
      <c r="X2" s="10" t="s">
        <v>3</v>
      </c>
    </row>
    <row r="3" spans="1:24" x14ac:dyDescent="0.3">
      <c r="A3" s="1">
        <f>COUNTA(B3:B60)</f>
        <v>9</v>
      </c>
      <c r="B3" s="2" t="s">
        <v>81</v>
      </c>
      <c r="C3" s="2" t="s">
        <v>7</v>
      </c>
      <c r="D3" s="2" t="s">
        <v>6</v>
      </c>
      <c r="F3" s="1">
        <f>COUNTA(G3:G60)</f>
        <v>9</v>
      </c>
      <c r="G3" s="5" t="s">
        <v>32</v>
      </c>
      <c r="H3" s="2" t="s">
        <v>9</v>
      </c>
      <c r="I3" s="2" t="s">
        <v>11</v>
      </c>
      <c r="K3" s="1">
        <f>COUNTA(L3:L60)</f>
        <v>8</v>
      </c>
      <c r="L3" s="2" t="s">
        <v>40</v>
      </c>
      <c r="M3" s="4" t="s">
        <v>25</v>
      </c>
      <c r="N3" s="2" t="s">
        <v>36</v>
      </c>
      <c r="P3" s="1">
        <f>COUNTA(Q3:Q60)</f>
        <v>11</v>
      </c>
      <c r="Q3" s="2" t="s">
        <v>21</v>
      </c>
      <c r="R3" s="2" t="s">
        <v>30</v>
      </c>
      <c r="S3" s="4" t="s">
        <v>58</v>
      </c>
      <c r="U3" s="1">
        <f>COUNTA(V3:V60)</f>
        <v>7</v>
      </c>
      <c r="V3" s="2" t="s">
        <v>5</v>
      </c>
      <c r="W3" s="4" t="s">
        <v>31</v>
      </c>
      <c r="X3" s="3" t="s">
        <v>18</v>
      </c>
    </row>
    <row r="4" spans="1:24" x14ac:dyDescent="0.3">
      <c r="A4" s="1">
        <f>COUNTA(C3:C60)</f>
        <v>6</v>
      </c>
      <c r="B4" s="2" t="s">
        <v>82</v>
      </c>
      <c r="C4" s="2" t="s">
        <v>42</v>
      </c>
      <c r="D4" s="15" t="s">
        <v>53</v>
      </c>
      <c r="F4" s="1">
        <f>COUNTA(H3:H60)</f>
        <v>7</v>
      </c>
      <c r="G4" s="3" t="s">
        <v>54</v>
      </c>
      <c r="H4" s="4" t="s">
        <v>10</v>
      </c>
      <c r="I4" s="3" t="s">
        <v>19</v>
      </c>
      <c r="K4" s="1">
        <f>COUNTA(M3:M60)</f>
        <v>5</v>
      </c>
      <c r="L4" s="4" t="s">
        <v>41</v>
      </c>
      <c r="M4" s="3" t="s">
        <v>29</v>
      </c>
      <c r="N4" s="3" t="s">
        <v>39</v>
      </c>
      <c r="P4" s="1">
        <f>COUNTA(R3:R60)</f>
        <v>5</v>
      </c>
      <c r="Q4" s="4" t="s">
        <v>45</v>
      </c>
      <c r="R4" s="2" t="s">
        <v>60</v>
      </c>
      <c r="S4" s="4" t="s">
        <v>59</v>
      </c>
      <c r="U4" s="1">
        <f>COUNTA(W3:W60)</f>
        <v>8</v>
      </c>
      <c r="V4" s="2" t="s">
        <v>13</v>
      </c>
      <c r="W4" s="2" t="s">
        <v>52</v>
      </c>
      <c r="X4" s="4" t="s">
        <v>107</v>
      </c>
    </row>
    <row r="5" spans="1:24" x14ac:dyDescent="0.3">
      <c r="A5" s="1">
        <f>COUNTA(D3:D60)</f>
        <v>6</v>
      </c>
      <c r="B5" s="4" t="s">
        <v>83</v>
      </c>
      <c r="C5" s="3" t="s">
        <v>46</v>
      </c>
      <c r="D5" s="4" t="s">
        <v>33</v>
      </c>
      <c r="F5" s="1">
        <f>COUNTA(I3:I60)</f>
        <v>5</v>
      </c>
      <c r="G5" s="5" t="s">
        <v>77</v>
      </c>
      <c r="H5" s="3" t="s">
        <v>24</v>
      </c>
      <c r="I5" s="3" t="s">
        <v>90</v>
      </c>
      <c r="K5" s="1">
        <f>COUNTA(N3:N60)</f>
        <v>8</v>
      </c>
      <c r="L5" s="5" t="s">
        <v>27</v>
      </c>
      <c r="M5" s="3" t="s">
        <v>66</v>
      </c>
      <c r="N5" s="3" t="s">
        <v>12</v>
      </c>
      <c r="P5" s="1">
        <f>COUNTA(S3:S60)</f>
        <v>6</v>
      </c>
      <c r="Q5" s="2" t="s">
        <v>22</v>
      </c>
      <c r="R5" s="3" t="s">
        <v>62</v>
      </c>
      <c r="S5" s="5" t="s">
        <v>65</v>
      </c>
      <c r="U5" s="1">
        <f>COUNTA(X3:X60)</f>
        <v>4</v>
      </c>
      <c r="V5" s="2" t="s">
        <v>15</v>
      </c>
      <c r="W5" s="3" t="s">
        <v>64</v>
      </c>
      <c r="X5" s="5" t="s">
        <v>108</v>
      </c>
    </row>
    <row r="6" spans="1:24" x14ac:dyDescent="0.3">
      <c r="A6" s="2">
        <v>8</v>
      </c>
      <c r="B6" s="2" t="s">
        <v>84</v>
      </c>
      <c r="C6" s="2" t="s">
        <v>47</v>
      </c>
      <c r="D6" s="3" t="s">
        <v>48</v>
      </c>
      <c r="F6" s="2">
        <v>8</v>
      </c>
      <c r="G6" s="5" t="s">
        <v>88</v>
      </c>
      <c r="H6" s="2" t="s">
        <v>51</v>
      </c>
      <c r="I6" s="4" t="s">
        <v>93</v>
      </c>
      <c r="K6" s="2">
        <v>7</v>
      </c>
      <c r="L6" s="2" t="s">
        <v>50</v>
      </c>
      <c r="M6" s="2" t="s">
        <v>67</v>
      </c>
      <c r="N6" s="3" t="s">
        <v>61</v>
      </c>
      <c r="P6" s="2">
        <v>7</v>
      </c>
      <c r="Q6" s="5" t="s">
        <v>23</v>
      </c>
      <c r="R6" s="4" t="s">
        <v>69</v>
      </c>
      <c r="S6" s="2" t="s">
        <v>38</v>
      </c>
      <c r="U6" s="2">
        <v>5</v>
      </c>
      <c r="V6" s="4" t="s">
        <v>14</v>
      </c>
      <c r="W6" s="3" t="s">
        <v>71</v>
      </c>
      <c r="X6" s="5" t="s">
        <v>110</v>
      </c>
    </row>
    <row r="7" spans="1:24" x14ac:dyDescent="0.3">
      <c r="A7" s="3">
        <v>5</v>
      </c>
      <c r="B7" s="3" t="s">
        <v>85</v>
      </c>
      <c r="C7" s="2" t="s">
        <v>28</v>
      </c>
      <c r="D7" s="5" t="s">
        <v>49</v>
      </c>
      <c r="F7" s="3">
        <v>5</v>
      </c>
      <c r="G7" s="2" t="s">
        <v>89</v>
      </c>
      <c r="H7" s="2" t="s">
        <v>55</v>
      </c>
      <c r="I7" s="4" t="s">
        <v>98</v>
      </c>
      <c r="K7" s="3">
        <v>6</v>
      </c>
      <c r="L7" s="2" t="s">
        <v>87</v>
      </c>
      <c r="M7" s="4" t="s">
        <v>73</v>
      </c>
      <c r="N7" s="5" t="s">
        <v>79</v>
      </c>
      <c r="P7" s="3">
        <v>5</v>
      </c>
      <c r="Q7" s="3" t="s">
        <v>56</v>
      </c>
      <c r="R7" s="5" t="s">
        <v>102</v>
      </c>
      <c r="S7" s="2" t="s">
        <v>35</v>
      </c>
      <c r="U7" s="3">
        <v>3</v>
      </c>
      <c r="V7" s="5" t="s">
        <v>37</v>
      </c>
      <c r="W7" s="4" t="s">
        <v>76</v>
      </c>
    </row>
    <row r="8" spans="1:24" x14ac:dyDescent="0.3">
      <c r="A8" s="4">
        <v>4</v>
      </c>
      <c r="B8" s="5" t="s">
        <v>86</v>
      </c>
      <c r="C8" s="5" t="s">
        <v>74</v>
      </c>
      <c r="D8" s="15" t="s">
        <v>75</v>
      </c>
      <c r="F8" s="4">
        <v>3</v>
      </c>
      <c r="G8" s="2" t="s">
        <v>91</v>
      </c>
      <c r="H8" s="3" t="s">
        <v>57</v>
      </c>
      <c r="K8" s="4">
        <v>6</v>
      </c>
      <c r="L8" s="3" t="s">
        <v>68</v>
      </c>
      <c r="N8" s="2" t="s">
        <v>34</v>
      </c>
      <c r="P8" s="4">
        <v>4</v>
      </c>
      <c r="Q8" s="3" t="s">
        <v>80</v>
      </c>
      <c r="S8" s="3" t="s">
        <v>105</v>
      </c>
      <c r="U8" s="4">
        <v>3</v>
      </c>
      <c r="V8" s="2" t="s">
        <v>106</v>
      </c>
      <c r="W8" s="2" t="s">
        <v>78</v>
      </c>
    </row>
    <row r="9" spans="1:24" x14ac:dyDescent="0.3">
      <c r="A9" s="5">
        <v>3</v>
      </c>
      <c r="B9" s="3" t="s">
        <v>100</v>
      </c>
      <c r="F9" s="5">
        <v>3</v>
      </c>
      <c r="G9" s="4" t="s">
        <v>92</v>
      </c>
      <c r="H9" s="4" t="s">
        <v>94</v>
      </c>
      <c r="K9" s="5">
        <v>3</v>
      </c>
      <c r="L9" s="5" t="s">
        <v>70</v>
      </c>
      <c r="N9" s="4" t="s">
        <v>26</v>
      </c>
      <c r="P9" s="5">
        <v>3</v>
      </c>
      <c r="Q9" s="3" t="s">
        <v>63</v>
      </c>
      <c r="U9" s="5">
        <v>1</v>
      </c>
      <c r="V9" s="5" t="s">
        <v>109</v>
      </c>
      <c r="W9" s="3" t="s">
        <v>17</v>
      </c>
    </row>
    <row r="10" spans="1:24" x14ac:dyDescent="0.3">
      <c r="A10" s="10" t="s">
        <v>4</v>
      </c>
      <c r="B10" s="3" t="s">
        <v>101</v>
      </c>
      <c r="F10" s="6" t="s">
        <v>4</v>
      </c>
      <c r="G10" s="2" t="s">
        <v>95</v>
      </c>
      <c r="K10" s="10" t="s">
        <v>4</v>
      </c>
      <c r="L10" s="2" t="s">
        <v>99</v>
      </c>
      <c r="N10" s="3" t="s">
        <v>103</v>
      </c>
      <c r="P10" s="10" t="s">
        <v>4</v>
      </c>
      <c r="Q10" s="2" t="s">
        <v>72</v>
      </c>
      <c r="U10" s="10" t="s">
        <v>4</v>
      </c>
      <c r="W10" s="3" t="s">
        <v>111</v>
      </c>
    </row>
    <row r="11" spans="1:24" x14ac:dyDescent="0.3">
      <c r="A11" s="1">
        <f>SUM(A3:A5)</f>
        <v>21</v>
      </c>
      <c r="B11" s="4" t="s">
        <v>112</v>
      </c>
      <c r="F11" s="1">
        <f>SUM(F3:F5)</f>
        <v>21</v>
      </c>
      <c r="G11" s="2" t="s">
        <v>96</v>
      </c>
      <c r="K11" s="1">
        <f>SUM(K3:K5)</f>
        <v>21</v>
      </c>
      <c r="P11" s="1">
        <f>SUM(P3:P5)</f>
        <v>22</v>
      </c>
      <c r="Q11" s="3" t="s">
        <v>20</v>
      </c>
      <c r="U11" s="1">
        <f>SUM(U3:U5)</f>
        <v>19</v>
      </c>
    </row>
    <row r="12" spans="1:24" x14ac:dyDescent="0.3">
      <c r="Q12" s="2" t="s">
        <v>97</v>
      </c>
    </row>
    <row r="13" spans="1:24" x14ac:dyDescent="0.3">
      <c r="Q13" s="2" t="s">
        <v>104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2024-10-12T03:54:34Z</dcterms:modified>
</cp:coreProperties>
</file>