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park\Documents\CardGame\"/>
    </mc:Choice>
  </mc:AlternateContent>
  <xr:revisionPtr revIDLastSave="0" documentId="13_ncr:1_{C187B856-34DC-4157-9CCB-30EB8B771F13}" xr6:coauthVersionLast="47" xr6:coauthVersionMax="47" xr10:uidLastSave="{00000000-0000-0000-0000-000000000000}"/>
  <bookViews>
    <workbookView xWindow="780" yWindow="780" windowWidth="28800" windowHeight="15345" xr2:uid="{F1BE6F00-F159-4957-8E4B-273D781E3C31}"/>
  </bookViews>
  <sheets>
    <sheet name="Sheet1" sheetId="1" r:id="rId1"/>
  </sheets>
  <definedNames>
    <definedName name="_xlnm._FilterDatabase" localSheetId="0" hidden="1">Sheet1!$A$1:$D$8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1" l="1"/>
  <c r="U4" i="1"/>
  <c r="U3" i="1"/>
  <c r="P5" i="1"/>
  <c r="P4" i="1"/>
  <c r="P3" i="1"/>
  <c r="K5" i="1"/>
  <c r="K4" i="1"/>
  <c r="K3" i="1"/>
  <c r="A5" i="1"/>
  <c r="A4" i="1"/>
  <c r="A3" i="1"/>
  <c r="F5" i="1"/>
  <c r="F4" i="1"/>
  <c r="F3" i="1"/>
  <c r="P7" i="1" l="1"/>
  <c r="U7" i="1"/>
  <c r="F7" i="1"/>
  <c r="K7" i="1"/>
  <c r="A7" i="1"/>
  <c r="A1" i="1" l="1"/>
</calcChain>
</file>

<file path=xl/sharedStrings.xml><?xml version="1.0" encoding="utf-8"?>
<sst xmlns="http://schemas.openxmlformats.org/spreadsheetml/2006/main" count="147" uniqueCount="131">
  <si>
    <t>Ghosts</t>
  </si>
  <si>
    <t>Creatures</t>
  </si>
  <si>
    <t>Spells</t>
  </si>
  <si>
    <t>Off-Site</t>
  </si>
  <si>
    <t>Total</t>
  </si>
  <si>
    <t>Skeleton</t>
  </si>
  <si>
    <t>Morgue</t>
  </si>
  <si>
    <t>Possess</t>
  </si>
  <si>
    <t>Plague</t>
  </si>
  <si>
    <t>Worm Wood</t>
  </si>
  <si>
    <t>It Gets Worse</t>
  </si>
  <si>
    <t>Totem Of Plague</t>
  </si>
  <si>
    <t>Abyssal Maw</t>
  </si>
  <si>
    <t>Greater Crow</t>
  </si>
  <si>
    <t>Crow Devourer</t>
  </si>
  <si>
    <t>Lesser Crow</t>
  </si>
  <si>
    <t>Golems</t>
  </si>
  <si>
    <t>Crow Alchemy</t>
  </si>
  <si>
    <t>Crow Nest</t>
  </si>
  <si>
    <t>Pheromone Den</t>
  </si>
  <si>
    <t>Pebble</t>
  </si>
  <si>
    <t>Artistic Golem</t>
  </si>
  <si>
    <t>Shifting Golem</t>
  </si>
  <si>
    <t>Living Home</t>
  </si>
  <si>
    <t>Powder</t>
  </si>
  <si>
    <t>Mars Message</t>
  </si>
  <si>
    <t>Portal</t>
  </si>
  <si>
    <t>The Moon</t>
  </si>
  <si>
    <t>Close Call</t>
  </si>
  <si>
    <t>Border of Life</t>
  </si>
  <si>
    <t>Barrier Insert</t>
  </si>
  <si>
    <t>Abstract Mirror</t>
  </si>
  <si>
    <t>Empty Man</t>
  </si>
  <si>
    <t>Door To Nowhere</t>
  </si>
  <si>
    <t>Container</t>
  </si>
  <si>
    <t>Prison</t>
  </si>
  <si>
    <t>Totem of Life</t>
  </si>
  <si>
    <t>Horror Above</t>
  </si>
  <si>
    <t>Totem of Prayer</t>
  </si>
  <si>
    <t>The Seal</t>
  </si>
  <si>
    <t>Formal Wizard</t>
  </si>
  <si>
    <t>Clone Element</t>
  </si>
  <si>
    <t>Knife</t>
  </si>
  <si>
    <t>Celestial</t>
  </si>
  <si>
    <t>Randos</t>
  </si>
  <si>
    <t>Specular Golem</t>
  </si>
  <si>
    <t>Reap</t>
  </si>
  <si>
    <t>Grave Digger</t>
  </si>
  <si>
    <t>Pale Mask</t>
  </si>
  <si>
    <t>Melting Idol</t>
  </si>
  <si>
    <t>Saturn Bear</t>
  </si>
  <si>
    <t>Mutation</t>
  </si>
  <si>
    <t>Blood Rage</t>
  </si>
  <si>
    <t>Ectoplasm</t>
  </si>
  <si>
    <t>Mog of the Bog</t>
  </si>
  <si>
    <t>The Cure</t>
  </si>
  <si>
    <t>Onyx Defender</t>
  </si>
  <si>
    <t>Pin Cushion</t>
  </si>
  <si>
    <t>Stone Generator</t>
  </si>
  <si>
    <t>Monolith</t>
  </si>
  <si>
    <t>Rock Throw</t>
  </si>
  <si>
    <t>War on Pluto</t>
  </si>
  <si>
    <t>Tranquility</t>
  </si>
  <si>
    <t>Deconstructor</t>
  </si>
  <si>
    <t>Big Catch</t>
  </si>
  <si>
    <t>Barier Lord</t>
  </si>
  <si>
    <t>Star Storm</t>
  </si>
  <si>
    <t>Dying Star</t>
  </si>
  <si>
    <t>Banish Watcher</t>
  </si>
  <si>
    <t>The Best Offense</t>
  </si>
  <si>
    <t>Black Hole</t>
  </si>
  <si>
    <t>Sprint</t>
  </si>
  <si>
    <t>False Golem</t>
  </si>
  <si>
    <t>Creation/Nothing</t>
  </si>
  <si>
    <t>Melt</t>
  </si>
  <si>
    <t>Corrupted Piece</t>
  </si>
  <si>
    <t>Transmogrify</t>
  </si>
  <si>
    <t>Doctor</t>
  </si>
  <si>
    <t>Flock</t>
  </si>
  <si>
    <t>Sun Box</t>
  </si>
  <si>
    <t>Pearl Aggressor</t>
  </si>
  <si>
    <t xml:space="preserve">Jester </t>
  </si>
  <si>
    <t>Twisted Golem</t>
  </si>
  <si>
    <t>Last Mass</t>
  </si>
  <si>
    <t>Tomb Crawler</t>
  </si>
  <si>
    <t>Phase Beast</t>
  </si>
  <si>
    <t>Cauldron</t>
  </si>
  <si>
    <t>Venus Woman</t>
  </si>
  <si>
    <t>Toxician</t>
  </si>
  <si>
    <t>Rat</t>
  </si>
  <si>
    <t>Doomsday Barrel</t>
  </si>
  <si>
    <t>Green Orb</t>
  </si>
  <si>
    <t>Conjoined</t>
  </si>
  <si>
    <t>Temporary Relief</t>
  </si>
  <si>
    <t>Health:Sickness</t>
  </si>
  <si>
    <t>Moth</t>
  </si>
  <si>
    <t>Cracked Egg</t>
  </si>
  <si>
    <t>Spooked Golem</t>
  </si>
  <si>
    <t>Infection:Misdirection</t>
  </si>
  <si>
    <t>Blue Star</t>
  </si>
  <si>
    <t>Bottom Dweller</t>
  </si>
  <si>
    <t>G Spellcaster</t>
  </si>
  <si>
    <t>Reconstruction</t>
  </si>
  <si>
    <t>Moon Angel</t>
  </si>
  <si>
    <t>Tonne</t>
  </si>
  <si>
    <t>Gold Vein</t>
  </si>
  <si>
    <t>Soul Lantern</t>
  </si>
  <si>
    <t>Soul Baron</t>
  </si>
  <si>
    <t>Golden Land</t>
  </si>
  <si>
    <t>Void Saviour</t>
  </si>
  <si>
    <t>Void World</t>
  </si>
  <si>
    <t>Unstasis</t>
  </si>
  <si>
    <t>Spiritual Warlord</t>
  </si>
  <si>
    <t>Flesh Ritual</t>
  </si>
  <si>
    <t>Withering Shrine</t>
  </si>
  <si>
    <t>36 / Archetype, 19 C, 9 R, 5 SR, 3 DR</t>
  </si>
  <si>
    <t>Fungal Guardian</t>
  </si>
  <si>
    <t>Apple Guard</t>
  </si>
  <si>
    <t>Ring Generator</t>
  </si>
  <si>
    <t>Madness Policy</t>
  </si>
  <si>
    <t>Last Chance</t>
  </si>
  <si>
    <t>Marlita Blue</t>
  </si>
  <si>
    <t>Marlita Grey</t>
  </si>
  <si>
    <t>Marlita White</t>
  </si>
  <si>
    <t>Marlita Black</t>
  </si>
  <si>
    <t>Marlita Red</t>
  </si>
  <si>
    <t>Marlita Yellow</t>
  </si>
  <si>
    <t>Marlita R-B</t>
  </si>
  <si>
    <t>Come Marlita</t>
  </si>
  <si>
    <t>Marlita Home</t>
  </si>
  <si>
    <t>Marlita Shrine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</si>
</sst>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8" borderId="1" xfId="0" applyFont="1" applyFill="1" applyBorder="1"/>
    <xf numFmtId="0" fontId="0" fillId="0" borderId="1" xfId="0" applyBorder="1"/>
    <xf numFmtId="0" fontId="0" fillId="2" borderId="1" xfId="0" applyFill="1" applyBorder="1"/>
    <xf numFmtId="0" fontId="1" fillId="9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7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0" borderId="1" xfId="0" applyFont="1" applyBorder="1"/>
    <xf numFmtId="0" fontId="0" fillId="7" borderId="1" xfId="0" applyFill="1" applyBorder="1"/>
    <xf numFmtId="0" fontId="0" fillId="9" borderId="1" xfId="0" applyFill="1" applyBorder="1"/>
    <xf numFmtId="0" fontId="0" fillId="9" borderId="1" xfId="0" applyFill="1" applyBorder="1" applyAlignment="1">
      <alignment horizontal="left"/>
    </xf>
    <xf numFmtId="0" fontId="0" fillId="3" borderId="1" xfId="0" applyFill="1" applyBorder="1"/>
    <xf numFmtId="0" fontId="0" fillId="10" borderId="1" xfId="0" applyFill="1" applyBorder="1" applyAlignment="1">
      <alignment horizontal="right"/>
    </xf>
    <xf numFmtId="0" fontId="0" fillId="10" borderId="1" xfId="0" applyFill="1" applyBorder="1"/>
  </cellXfs>
  <cellStyles count="1">
    <cellStyle name="Normal" xfId="0" builtinId="0"/>
  </cellStyles>
  <dxfs count="9">
    <dxf>
      <fill>
        <patternFill patternType="solid">
          <fgColor rgb="FFCAEDFB"/>
          <bgColor rgb="FF000000"/>
        </patternFill>
      </fill>
    </dxf>
    <dxf>
      <fill>
        <patternFill patternType="solid">
          <fgColor rgb="FFE49EDD"/>
          <bgColor rgb="FF000000"/>
        </patternFill>
      </fill>
    </dxf>
    <dxf>
      <fill>
        <patternFill patternType="solid">
          <fgColor rgb="FFE49EDD"/>
          <bgColor rgb="FF000000"/>
        </patternFill>
      </fill>
    </dxf>
    <dxf>
      <fill>
        <patternFill patternType="solid">
          <fgColor rgb="FFF7C7AC"/>
          <bgColor rgb="FF000000"/>
        </patternFill>
      </fill>
    </dxf>
    <dxf>
      <fill>
        <patternFill patternType="solid">
          <fgColor rgb="FFF7C7AC"/>
          <bgColor rgb="FF000000"/>
        </patternFill>
      </fill>
    </dxf>
    <dxf>
      <fill>
        <patternFill patternType="solid">
          <fgColor rgb="FFF7C7AC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solid">
          <fgColor rgb="FFDAF2D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8B96-7BB2-4669-969C-772D34FF9DED}">
  <sheetPr codeName="Sheet1"/>
  <dimension ref="A1:Y17"/>
  <sheetViews>
    <sheetView tabSelected="1" topLeftCell="I1" zoomScale="146" zoomScaleNormal="190" workbookViewId="0">
      <selection activeCell="S16" sqref="S16"/>
    </sheetView>
  </sheetViews>
  <sheetFormatPr defaultColWidth="9.140625" defaultRowHeight="15" x14ac:dyDescent="0.25"/>
  <cols>
    <col min="1" max="1" width="10" style="1" customWidth="1"/>
    <col min="2" max="2" width="14.42578125" style="5" customWidth="1"/>
    <col min="3" max="3" width="13.85546875" style="5" customWidth="1"/>
    <col min="4" max="4" width="16.85546875" style="5" customWidth="1"/>
    <col min="5" max="5" width="2.7109375" style="6" customWidth="1"/>
    <col min="6" max="6" width="10.42578125" style="1" customWidth="1"/>
    <col min="7" max="7" width="15.42578125" style="5" customWidth="1"/>
    <col min="8" max="8" width="15.5703125" style="5" customWidth="1"/>
    <col min="9" max="9" width="16" style="5" customWidth="1"/>
    <col min="10" max="10" width="2.7109375" style="6" customWidth="1"/>
    <col min="11" max="11" width="9.85546875" style="1" customWidth="1"/>
    <col min="12" max="13" width="16.28515625" style="5" customWidth="1"/>
    <col min="14" max="14" width="13.140625" style="5" customWidth="1"/>
    <col min="15" max="15" width="2.7109375" style="6" customWidth="1"/>
    <col min="16" max="16" width="11" style="1" customWidth="1"/>
    <col min="17" max="17" width="14.7109375" style="5" customWidth="1"/>
    <col min="18" max="18" width="16.5703125" style="5" customWidth="1"/>
    <col min="19" max="19" width="15.5703125" style="5" customWidth="1"/>
    <col min="20" max="20" width="2.7109375" style="6" customWidth="1"/>
    <col min="21" max="21" width="10.5703125" style="1" customWidth="1"/>
    <col min="22" max="22" width="11.85546875" style="5" customWidth="1"/>
    <col min="23" max="23" width="14" style="5" customWidth="1"/>
    <col min="24" max="24" width="13.42578125" style="5" customWidth="1"/>
    <col min="25" max="25" width="3" style="6" customWidth="1"/>
    <col min="26" max="16384" width="9.140625" style="5"/>
  </cols>
  <sheetData>
    <row r="1" spans="1:24" s="8" customFormat="1" ht="15.75" customHeight="1" x14ac:dyDescent="0.25">
      <c r="A1" s="10" t="str">
        <f>_xlfn.CONCAT("Total: ", SUM(A7,F7,K7,P7,U7))</f>
        <v>Total: 121</v>
      </c>
      <c r="B1" s="8" t="s">
        <v>115</v>
      </c>
      <c r="C1" s="9"/>
      <c r="E1" s="12"/>
      <c r="J1" s="11"/>
      <c r="O1" s="13"/>
      <c r="T1" s="4"/>
    </row>
    <row r="2" spans="1:24" x14ac:dyDescent="0.25">
      <c r="A2" s="7" t="s">
        <v>0</v>
      </c>
      <c r="B2" s="16" t="s">
        <v>1</v>
      </c>
      <c r="C2" s="17" t="s">
        <v>2</v>
      </c>
      <c r="D2" s="16" t="s">
        <v>3</v>
      </c>
      <c r="F2" s="7" t="s">
        <v>8</v>
      </c>
      <c r="G2" s="16" t="s">
        <v>1</v>
      </c>
      <c r="H2" s="16" t="s">
        <v>2</v>
      </c>
      <c r="I2" s="16" t="s">
        <v>3</v>
      </c>
      <c r="K2" s="7" t="s">
        <v>43</v>
      </c>
      <c r="L2" s="16" t="s">
        <v>1</v>
      </c>
      <c r="M2" s="16" t="s">
        <v>2</v>
      </c>
      <c r="N2" s="16" t="s">
        <v>3</v>
      </c>
      <c r="P2" s="7" t="s">
        <v>16</v>
      </c>
      <c r="Q2" s="16" t="s">
        <v>1</v>
      </c>
      <c r="R2" s="16" t="s">
        <v>2</v>
      </c>
      <c r="S2" s="16" t="s">
        <v>3</v>
      </c>
      <c r="U2" s="7" t="s">
        <v>44</v>
      </c>
      <c r="V2" s="16" t="s">
        <v>1</v>
      </c>
      <c r="W2" s="16" t="s">
        <v>2</v>
      </c>
      <c r="X2" s="16" t="s">
        <v>3</v>
      </c>
    </row>
    <row r="3" spans="1:24" x14ac:dyDescent="0.25">
      <c r="A3" s="1">
        <f>COUNTA(B3:B60)</f>
        <v>9</v>
      </c>
      <c r="B3" s="2" t="s">
        <v>81</v>
      </c>
      <c r="C3" s="2" t="s">
        <v>28</v>
      </c>
      <c r="D3" s="2" t="s">
        <v>75</v>
      </c>
      <c r="F3" s="1">
        <f>COUNTA(G3:G60)</f>
        <v>10</v>
      </c>
      <c r="G3" s="2" t="s">
        <v>89</v>
      </c>
      <c r="H3" s="2" t="s">
        <v>9</v>
      </c>
      <c r="I3" s="2" t="s">
        <v>11</v>
      </c>
      <c r="K3" s="1">
        <f>COUNTA(L3:L60)</f>
        <v>9</v>
      </c>
      <c r="L3" s="15" t="s">
        <v>40</v>
      </c>
      <c r="M3" s="3" t="s">
        <v>25</v>
      </c>
      <c r="N3" s="2" t="s">
        <v>36</v>
      </c>
      <c r="P3" s="1">
        <f>COUNTA(Q3:Q60)</f>
        <v>11</v>
      </c>
      <c r="Q3" s="2" t="s">
        <v>21</v>
      </c>
      <c r="R3" s="2" t="s">
        <v>30</v>
      </c>
      <c r="S3" s="3" t="s">
        <v>58</v>
      </c>
      <c r="U3" s="1">
        <f>COUNTA(V3:V60)</f>
        <v>14</v>
      </c>
      <c r="V3" s="2" t="s">
        <v>5</v>
      </c>
      <c r="W3" s="3" t="s">
        <v>31</v>
      </c>
      <c r="X3" s="15" t="s">
        <v>18</v>
      </c>
    </row>
    <row r="4" spans="1:24" x14ac:dyDescent="0.25">
      <c r="A4" s="1">
        <f>COUNTA(C3:C60)</f>
        <v>7</v>
      </c>
      <c r="B4" s="2" t="s">
        <v>82</v>
      </c>
      <c r="C4" s="2" t="s">
        <v>7</v>
      </c>
      <c r="D4" s="2" t="s">
        <v>6</v>
      </c>
      <c r="F4" s="1">
        <f>COUNTA(H3:H60)</f>
        <v>7</v>
      </c>
      <c r="G4" s="2" t="s">
        <v>91</v>
      </c>
      <c r="H4" s="2" t="s">
        <v>10</v>
      </c>
      <c r="I4" s="15" t="s">
        <v>19</v>
      </c>
      <c r="K4" s="1">
        <f>COUNTA(M3:M60)</f>
        <v>5</v>
      </c>
      <c r="L4" s="3" t="s">
        <v>41</v>
      </c>
      <c r="M4" s="15" t="s">
        <v>29</v>
      </c>
      <c r="N4" s="15" t="s">
        <v>39</v>
      </c>
      <c r="P4" s="1">
        <f>COUNTA(R3:R60)</f>
        <v>5</v>
      </c>
      <c r="Q4" s="3" t="s">
        <v>45</v>
      </c>
      <c r="R4" s="2" t="s">
        <v>60</v>
      </c>
      <c r="S4" s="20" t="s">
        <v>59</v>
      </c>
      <c r="U4" s="1">
        <f>COUNTA(W3:W60)</f>
        <v>11</v>
      </c>
      <c r="V4" s="2" t="s">
        <v>13</v>
      </c>
      <c r="W4" s="2" t="s">
        <v>52</v>
      </c>
      <c r="X4" s="3" t="s">
        <v>107</v>
      </c>
    </row>
    <row r="5" spans="1:24" x14ac:dyDescent="0.25">
      <c r="A5" s="1">
        <f>COUNTA(D3:D60)</f>
        <v>7</v>
      </c>
      <c r="B5" s="2" t="s">
        <v>84</v>
      </c>
      <c r="C5" s="2" t="s">
        <v>42</v>
      </c>
      <c r="D5" s="2" t="s">
        <v>53</v>
      </c>
      <c r="F5" s="1">
        <f>COUNTA(I3:I60)</f>
        <v>5</v>
      </c>
      <c r="G5" s="2" t="s">
        <v>96</v>
      </c>
      <c r="H5" s="2" t="s">
        <v>51</v>
      </c>
      <c r="I5" s="3" t="s">
        <v>93</v>
      </c>
      <c r="K5" s="1">
        <f>COUNTA(N3:N60)</f>
        <v>8</v>
      </c>
      <c r="L5" s="20" t="s">
        <v>27</v>
      </c>
      <c r="M5" s="2" t="s">
        <v>66</v>
      </c>
      <c r="N5" s="2" t="s">
        <v>118</v>
      </c>
      <c r="P5" s="1">
        <f>COUNTA(S3:S60)</f>
        <v>6</v>
      </c>
      <c r="Q5" s="2" t="s">
        <v>22</v>
      </c>
      <c r="R5" s="15" t="s">
        <v>62</v>
      </c>
      <c r="S5" s="20" t="s">
        <v>65</v>
      </c>
      <c r="U5" s="1">
        <f>COUNTA(X3:X60)</f>
        <v>7</v>
      </c>
      <c r="V5" s="2" t="s">
        <v>15</v>
      </c>
      <c r="W5" s="15" t="s">
        <v>64</v>
      </c>
      <c r="X5" s="20" t="s">
        <v>108</v>
      </c>
    </row>
    <row r="6" spans="1:24" x14ac:dyDescent="0.25">
      <c r="A6" s="16" t="s">
        <v>4</v>
      </c>
      <c r="B6" s="2" t="s">
        <v>100</v>
      </c>
      <c r="C6" s="2" t="s">
        <v>47</v>
      </c>
      <c r="D6" s="15" t="s">
        <v>48</v>
      </c>
      <c r="F6" s="18" t="s">
        <v>4</v>
      </c>
      <c r="G6" s="2" t="s">
        <v>116</v>
      </c>
      <c r="H6" s="2" t="s">
        <v>55</v>
      </c>
      <c r="I6" s="3" t="s">
        <v>98</v>
      </c>
      <c r="K6" s="16" t="s">
        <v>4</v>
      </c>
      <c r="L6" s="2" t="s">
        <v>50</v>
      </c>
      <c r="M6" s="2" t="s">
        <v>67</v>
      </c>
      <c r="N6" s="15" t="s">
        <v>61</v>
      </c>
      <c r="P6" s="16" t="s">
        <v>4</v>
      </c>
      <c r="Q6" s="3" t="s">
        <v>23</v>
      </c>
      <c r="R6" s="3" t="s">
        <v>69</v>
      </c>
      <c r="S6" s="2" t="s">
        <v>38</v>
      </c>
      <c r="U6" s="16" t="s">
        <v>4</v>
      </c>
      <c r="V6" s="3" t="s">
        <v>14</v>
      </c>
      <c r="W6" s="15" t="s">
        <v>71</v>
      </c>
      <c r="X6" s="20" t="s">
        <v>110</v>
      </c>
    </row>
    <row r="7" spans="1:24" x14ac:dyDescent="0.25">
      <c r="A7" s="1">
        <f>SUM(A3:A5)</f>
        <v>23</v>
      </c>
      <c r="B7" s="15" t="s">
        <v>85</v>
      </c>
      <c r="C7" s="15" t="s">
        <v>74</v>
      </c>
      <c r="D7" s="15" t="s">
        <v>114</v>
      </c>
      <c r="F7" s="1">
        <f>SUM(F3:F5)</f>
        <v>22</v>
      </c>
      <c r="G7" s="2" t="s">
        <v>95</v>
      </c>
      <c r="H7" s="15" t="s">
        <v>24</v>
      </c>
      <c r="I7" s="15" t="s">
        <v>90</v>
      </c>
      <c r="K7" s="1">
        <f>SUM(K3:K5)</f>
        <v>22</v>
      </c>
      <c r="L7" s="2" t="s">
        <v>87</v>
      </c>
      <c r="M7" s="3" t="s">
        <v>73</v>
      </c>
      <c r="N7" s="20" t="s">
        <v>79</v>
      </c>
      <c r="P7" s="1">
        <f>SUM(P3:P5)</f>
        <v>22</v>
      </c>
      <c r="Q7" s="15" t="s">
        <v>56</v>
      </c>
      <c r="R7" s="20" t="s">
        <v>102</v>
      </c>
      <c r="S7" s="2" t="s">
        <v>35</v>
      </c>
      <c r="U7" s="1">
        <f>SUM(U3:U5)</f>
        <v>32</v>
      </c>
      <c r="V7" s="20" t="s">
        <v>37</v>
      </c>
      <c r="W7" s="3" t="s">
        <v>76</v>
      </c>
      <c r="X7" s="15" t="s">
        <v>12</v>
      </c>
    </row>
    <row r="8" spans="1:24" x14ac:dyDescent="0.25">
      <c r="A8" s="19"/>
      <c r="B8" s="15" t="s">
        <v>101</v>
      </c>
      <c r="C8" s="15" t="s">
        <v>46</v>
      </c>
      <c r="D8" s="3" t="s">
        <v>33</v>
      </c>
      <c r="F8" s="19"/>
      <c r="G8" s="15" t="s">
        <v>54</v>
      </c>
      <c r="H8" s="15" t="s">
        <v>57</v>
      </c>
      <c r="K8" s="19"/>
      <c r="L8" s="15" t="s">
        <v>68</v>
      </c>
      <c r="N8" s="2" t="s">
        <v>34</v>
      </c>
      <c r="P8" s="19"/>
      <c r="Q8" s="15" t="s">
        <v>80</v>
      </c>
      <c r="S8" s="15" t="s">
        <v>105</v>
      </c>
      <c r="V8" s="2" t="s">
        <v>106</v>
      </c>
      <c r="W8" s="2" t="s">
        <v>78</v>
      </c>
      <c r="X8" s="2" t="s">
        <v>129</v>
      </c>
    </row>
    <row r="9" spans="1:24" x14ac:dyDescent="0.25">
      <c r="A9" s="20"/>
      <c r="B9" s="3" t="s">
        <v>83</v>
      </c>
      <c r="C9" s="3" t="s">
        <v>113</v>
      </c>
      <c r="D9" s="3" t="s">
        <v>49</v>
      </c>
      <c r="F9" s="20"/>
      <c r="G9" s="3" t="s">
        <v>92</v>
      </c>
      <c r="H9" s="15" t="s">
        <v>94</v>
      </c>
      <c r="K9" s="20"/>
      <c r="L9" s="20" t="s">
        <v>70</v>
      </c>
      <c r="N9" s="3" t="s">
        <v>26</v>
      </c>
      <c r="P9" s="20"/>
      <c r="Q9" s="15" t="s">
        <v>63</v>
      </c>
      <c r="U9" s="20"/>
      <c r="V9" s="20" t="s">
        <v>109</v>
      </c>
      <c r="W9" s="15" t="s">
        <v>17</v>
      </c>
      <c r="X9" s="2" t="s">
        <v>130</v>
      </c>
    </row>
    <row r="10" spans="1:24" x14ac:dyDescent="0.25">
      <c r="A10" s="20"/>
      <c r="B10" s="20" t="s">
        <v>86</v>
      </c>
      <c r="F10" s="20"/>
      <c r="G10" s="20" t="s">
        <v>32</v>
      </c>
      <c r="K10" s="20"/>
      <c r="L10" s="2" t="s">
        <v>99</v>
      </c>
      <c r="N10" s="15" t="s">
        <v>103</v>
      </c>
      <c r="P10" s="20"/>
      <c r="Q10" s="2" t="s">
        <v>72</v>
      </c>
      <c r="U10" s="20"/>
      <c r="V10" s="2" t="s">
        <v>122</v>
      </c>
      <c r="W10" s="15" t="s">
        <v>111</v>
      </c>
    </row>
    <row r="11" spans="1:24" x14ac:dyDescent="0.25">
      <c r="B11" s="20" t="s">
        <v>112</v>
      </c>
      <c r="G11" s="20" t="s">
        <v>77</v>
      </c>
      <c r="L11" s="2" t="s">
        <v>117</v>
      </c>
      <c r="Q11" s="15" t="s">
        <v>20</v>
      </c>
      <c r="V11" s="2" t="s">
        <v>121</v>
      </c>
      <c r="W11" s="15" t="s">
        <v>119</v>
      </c>
    </row>
    <row r="12" spans="1:24" x14ac:dyDescent="0.25">
      <c r="G12" s="20" t="s">
        <v>88</v>
      </c>
      <c r="Q12" s="2" t="s">
        <v>97</v>
      </c>
      <c r="V12" s="2" t="s">
        <v>123</v>
      </c>
      <c r="W12" s="15" t="s">
        <v>120</v>
      </c>
    </row>
    <row r="13" spans="1:24" x14ac:dyDescent="0.25">
      <c r="Q13" s="2" t="s">
        <v>104</v>
      </c>
      <c r="V13" s="2" t="s">
        <v>124</v>
      </c>
      <c r="W13" s="15" t="s">
        <v>128</v>
      </c>
    </row>
    <row r="14" spans="1:24" x14ac:dyDescent="0.25">
      <c r="V14" s="2" t="s">
        <v>125</v>
      </c>
    </row>
    <row r="15" spans="1:24" x14ac:dyDescent="0.25">
      <c r="V15" s="2" t="s">
        <v>126</v>
      </c>
    </row>
    <row r="16" spans="1:24" x14ac:dyDescent="0.25">
      <c r="V16" s="3" t="s">
        <v>127</v>
      </c>
    </row>
    <row r="17" spans="17:17" x14ac:dyDescent="0.25">
      <c r="Q17" s="14"/>
    </row>
  </sheetData>
  <sortState xmlns:xlrd2="http://schemas.microsoft.com/office/spreadsheetml/2017/richdata2" ref="G3:I21">
    <sortCondition sortBy="cellColor" ref="G3:G21" dxfId="8"/>
    <sortCondition sortBy="cellColor" ref="H3:H21" dxfId="7"/>
    <sortCondition sortBy="cellColor" ref="I3:I21" dxfId="6"/>
    <sortCondition sortBy="cellColor" ref="G3:G21" dxfId="5"/>
    <sortCondition sortBy="cellColor" ref="H3:H21" dxfId="4"/>
    <sortCondition sortBy="cellColor" ref="I3:I21" dxfId="3"/>
    <sortCondition sortBy="cellColor" ref="G3:G21" dxfId="2"/>
    <sortCondition sortBy="cellColor" ref="I3:I21" dxfId="1"/>
    <sortCondition sortBy="cellColor" ref="G3:G21" dxfId="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Smith-Evans</dc:creator>
  <cp:lastModifiedBy>Cole Smith-Evans</cp:lastModifiedBy>
  <dcterms:created xsi:type="dcterms:W3CDTF">2024-09-18T03:12:07Z</dcterms:created>
  <dcterms:modified xsi:type="dcterms:W3CDTF">2024-10-25T16:17:01Z</dcterms:modified>
</cp:coreProperties>
</file>